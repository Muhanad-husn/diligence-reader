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Value Driver Engine" sheetId="2" state="visible" r:id="rId2"/>
    <sheet xmlns:r="http://schemas.openxmlformats.org/officeDocument/2006/relationships" name="Sensitivity — MAU" sheetId="3" state="visible" r:id="rId3"/>
    <sheet xmlns:r="http://schemas.openxmlformats.org/officeDocument/2006/relationships" name="Sensitivity — MAU x Yie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0.000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16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56" customWidth="1" min="4" max="4"/>
  </cols>
  <sheetData>
    <row r="1">
      <c r="A1" s="1" t="inlineStr">
        <is>
          <t>Project Atlas — Integration Synergy Model (Base Case)</t>
        </is>
      </c>
    </row>
    <row r="2">
      <c r="A2" s="2" t="inlineStr">
        <is>
          <t>Seller-prepared. Base-case synergy NPV $410m. Owner Aaron Klein.</t>
        </is>
      </c>
    </row>
    <row r="4" ht="26" customHeight="1">
      <c r="A4" s="3" t="inlineStr">
        <is>
          <t>Driver / assumption</t>
        </is>
      </c>
      <c r="B4" s="3" t="inlineStr">
        <is>
          <t>Unit</t>
        </is>
      </c>
      <c r="C4" s="3" t="inlineStr">
        <is>
          <t>Base-case value</t>
        </is>
      </c>
      <c r="D4" s="3" t="inlineStr">
        <is>
          <t>Basis</t>
        </is>
      </c>
    </row>
    <row r="5">
      <c r="A5" s="4" t="inlineStr">
        <is>
          <t>Total monthly active users (MAU)</t>
        </is>
      </c>
      <c r="B5" s="5" t="inlineStr">
        <is>
          <t>m</t>
        </is>
      </c>
      <c r="C5" s="5" t="n">
        <v>615</v>
      </c>
      <c r="D5" s="4" t="inlineStr">
        <is>
          <t>Management run-rate; consistent with the management presentation (DR-005)</t>
        </is>
      </c>
    </row>
    <row r="6">
      <c r="A6" s="4" t="inlineStr">
        <is>
          <t>Mobile monthly active users</t>
        </is>
      </c>
      <c r="B6" s="5" t="inlineStr">
        <is>
          <t>m</t>
        </is>
      </c>
      <c r="C6" s="5" t="n">
        <v>408</v>
      </c>
      <c r="D6" s="5" t="inlineStr">
        <is>
          <t>Management run-rate</t>
        </is>
      </c>
    </row>
    <row r="7">
      <c r="A7" s="4" t="inlineStr">
        <is>
          <t>Normalised advertising yield index</t>
        </is>
      </c>
      <c r="B7" s="5" t="inlineStr">
        <is>
          <t>x</t>
        </is>
      </c>
      <c r="C7" s="5" t="inlineStr">
        <is>
          <t>1.00</t>
        </is>
      </c>
      <c r="D7" s="4" t="inlineStr">
        <is>
          <t>Indexed to pre-October 2025 eCPM/fill; assumes full normalisation</t>
        </is>
      </c>
    </row>
    <row r="8">
      <c r="A8" s="4" t="inlineStr">
        <is>
          <t>Daily active email users</t>
        </is>
      </c>
      <c r="B8" s="5" t="inlineStr">
        <is>
          <t>m</t>
        </is>
      </c>
      <c r="C8" s="5" t="n">
        <v>82</v>
      </c>
      <c r="D8" s="5" t="inlineStr">
        <is>
          <t>Management run-rate</t>
        </is>
      </c>
    </row>
    <row r="9">
      <c r="A9" s="4" t="inlineStr">
        <is>
          <t>Addressability uplift (match-rate gain)</t>
        </is>
      </c>
      <c r="B9" s="5" t="inlineStr">
        <is>
          <t>%</t>
        </is>
      </c>
      <c r="C9" s="5" t="inlineStr">
        <is>
          <t>8.0%</t>
        </is>
      </c>
      <c r="D9" s="4" t="inlineStr">
        <is>
          <t>Combined first-party data with the acquirer telecoms base</t>
        </is>
      </c>
    </row>
    <row r="10">
      <c r="A10" s="4" t="inlineStr">
        <is>
          <t>Cross-sell uplift on advertising &amp; subscriptions</t>
        </is>
      </c>
      <c r="B10" s="5" t="inlineStr">
        <is>
          <t>%</t>
        </is>
      </c>
      <c r="C10" s="5" t="inlineStr">
        <is>
          <t>3.5%</t>
        </is>
      </c>
      <c r="D10" s="4" t="inlineStr">
        <is>
          <t>Cross-sell to the acquirer customer base</t>
        </is>
      </c>
    </row>
    <row r="11">
      <c r="A11" s="4" t="inlineStr">
        <is>
          <t>Cost efficiencies (infra, procurement, G&amp;A)</t>
        </is>
      </c>
      <c r="B11" s="5" t="inlineStr">
        <is>
          <t>$m / yr</t>
        </is>
      </c>
      <c r="C11" s="5" t="n">
        <v>64</v>
      </c>
      <c r="D11" s="4" t="inlineStr">
        <is>
          <t>Run-rate from infrastructure, procurement and G&amp;A rationalisation</t>
        </is>
      </c>
    </row>
    <row r="12">
      <c r="A12" s="5" t="inlineStr">
        <is>
          <t>Discount rate (WACC)</t>
        </is>
      </c>
      <c r="B12" s="5" t="inlineStr">
        <is>
          <t>%</t>
        </is>
      </c>
      <c r="C12" s="5" t="inlineStr">
        <is>
          <t>9.5%</t>
        </is>
      </c>
      <c r="D12" s="5" t="inlineStr">
        <is>
          <t>Combined-group WACC</t>
        </is>
      </c>
    </row>
    <row r="13">
      <c r="A13" s="5" t="inlineStr">
        <is>
          <t>Synergy ramp</t>
        </is>
      </c>
      <c r="B13" s="5" t="inlineStr">
        <is>
          <t>yrs</t>
        </is>
      </c>
      <c r="C13" s="5" t="n">
        <v>4</v>
      </c>
      <c r="D13" s="4" t="inlineStr">
        <is>
          <t>Phased realisation to run-rate over four years</t>
        </is>
      </c>
    </row>
    <row r="14">
      <c r="A14" s="4" t="inlineStr">
        <is>
          <t>Lasting trust friction assumed</t>
        </is>
      </c>
      <c r="B14" s="5" t="inlineStr">
        <is>
          <t>—</t>
        </is>
      </c>
      <c r="C14" s="5" t="inlineStr">
        <is>
          <t>None</t>
        </is>
      </c>
      <c r="D14" s="4" t="inlineStr">
        <is>
          <t>Base case assumes NO lasting trust friction; engagement fully recovers</t>
        </is>
      </c>
    </row>
    <row r="15">
      <c r="A15" s="5" t="inlineStr">
        <is>
          <t>Base-case synergy NPV</t>
        </is>
      </c>
      <c r="B15" s="5" t="inlineStr">
        <is>
          <t>$m</t>
        </is>
      </c>
      <c r="C15" s="5" t="n">
        <v>410</v>
      </c>
      <c r="D15" s="4" t="inlineStr">
        <is>
          <t>Output of the base case on the above assumptions</t>
        </is>
      </c>
    </row>
    <row r="16">
      <c r="A16" s="6" t="inlineStr">
        <is>
          <t>Combination thesis: VistaPort’s 615m-user franchise and ad-tech combined with the acquirer telecoms customer base. Base-case synergy NPV of $410m (see the management presentation DR-005 and the strategic-alternatives deck DR-015).</t>
        </is>
      </c>
    </row>
    <row r="17">
      <c r="A17" s="6" t="inlineStr">
        <is>
          <t>The base case assumes the autumn-2025 “Trust Reset” credential-hygiene programme produced no lasting friction and that advertising yield fully normalises to the pre-October index of 1.00. A buyer should test these two assumptions against realised post-October metrics; see the sensitivity tabs. The realised-low scenario reflects the worst observed weeks in the Q4 2025 user-metrics series.</t>
        </is>
      </c>
    </row>
    <row r="18">
      <c r="A18" s="6" t="inlineStr">
        <is>
          <t>Prepared by Corporate Development. Seller-prepared; unaudited. Confidential — Project Atlas.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 ht="26" customHeight="1">
      <c r="A1" s="3" t="inlineStr">
        <is>
          <t>Item</t>
        </is>
      </c>
      <c r="B1" s="3" t="inlineStr">
        <is>
          <t>Value</t>
        </is>
      </c>
    </row>
    <row r="2">
      <c r="A2" s="4" t="inlineStr">
        <is>
          <t>Base-case synergy NPV ($m)</t>
        </is>
      </c>
      <c r="B2" s="7" t="n">
        <v>410</v>
      </c>
    </row>
    <row r="3">
      <c r="A3" s="5" t="inlineStr">
        <is>
          <t>Base total MAU (m)</t>
        </is>
      </c>
      <c r="B3" s="7" t="n">
        <v>615</v>
      </c>
    </row>
    <row r="4">
      <c r="A4" s="4" t="inlineStr">
        <is>
          <t>Scenario total MAU (m) — realised low</t>
        </is>
      </c>
      <c r="B4" s="7" t="n">
        <v>594</v>
      </c>
    </row>
    <row r="5">
      <c r="A5" s="5" t="inlineStr">
        <is>
          <t>Base mobile MAU (m)</t>
        </is>
      </c>
      <c r="B5" s="7" t="n">
        <v>408</v>
      </c>
    </row>
    <row r="6">
      <c r="A6" s="4" t="inlineStr">
        <is>
          <t>Scenario mobile MAU (m) — realised low</t>
        </is>
      </c>
      <c r="B6" s="7" t="n">
        <v>389</v>
      </c>
    </row>
    <row r="7">
      <c r="A7" s="5" t="inlineStr">
        <is>
          <t>Base ad-yield index</t>
        </is>
      </c>
      <c r="B7" s="7" t="n">
        <v>1</v>
      </c>
    </row>
    <row r="8">
      <c r="A8" s="4" t="inlineStr">
        <is>
          <t>Scenario ad-yield index — realised low</t>
        </is>
      </c>
      <c r="B8" s="7" t="n">
        <v>0.93</v>
      </c>
    </row>
    <row r="9">
      <c r="A9" s="4" t="inlineStr">
        <is>
          <t>Volume gearing (logged-in synergy leverage)</t>
        </is>
      </c>
      <c r="B9" s="7" t="n">
        <v>8</v>
      </c>
    </row>
    <row r="10">
      <c r="A10" s="4" t="inlineStr">
        <is>
          <t>Yield gearing (yield synergy leverage)</t>
        </is>
      </c>
      <c r="B10" s="7" t="n">
        <v>7.5</v>
      </c>
    </row>
    <row r="11">
      <c r="A11" s="4" t="inlineStr">
        <is>
          <t>Blended volume factor (50% total MAU / 50% mobile)</t>
        </is>
      </c>
      <c r="B11" s="8">
        <f>0.5*(B4/B3)+0.5*(B6/B5)</f>
        <v/>
      </c>
    </row>
    <row r="12">
      <c r="A12" s="4" t="inlineStr">
        <is>
          <t>Ad-yield factor (scenario / base)</t>
        </is>
      </c>
      <c r="B12" s="7">
        <f>B8/B7</f>
        <v/>
      </c>
    </row>
    <row r="13">
      <c r="A13" s="4" t="inlineStr">
        <is>
          <t>Volume impact on synergy</t>
        </is>
      </c>
      <c r="B13" s="7">
        <f>1-B9*(1-B11)</f>
        <v/>
      </c>
    </row>
    <row r="14">
      <c r="A14" s="4" t="inlineStr">
        <is>
          <t>Yield impact on synergy</t>
        </is>
      </c>
      <c r="B14" s="7">
        <f>1-B10*(1-B12)</f>
        <v/>
      </c>
    </row>
    <row r="15">
      <c r="A15" s="4" t="inlineStr">
        <is>
          <t>Scenario synergy NPV ($m)</t>
        </is>
      </c>
      <c r="B15" s="7">
        <f>B2*B13*B14</f>
        <v/>
      </c>
    </row>
    <row r="16">
      <c r="A16" s="4" t="inlineStr">
        <is>
          <t>Value at risk vs base ($m)</t>
        </is>
      </c>
      <c r="B16" s="7">
        <f>B2-B15</f>
        <v/>
      </c>
    </row>
    <row r="17">
      <c r="A17" s="6" t="inlineStr">
        <is>
          <t>Synergy NPV is geared to the INCREMENTAL logged-in addressable audience and its yield, not to headline MAU. Scenario NPV = Base NPV x [1 - VolGear x (1 - volume factor)] x [1 - YldGear x (1 - yield factor)]. At base (factors = 1) the impacts are 1 and NPV = the base $410m. Cells B10..B16 are live formulas.</t>
        </is>
      </c>
    </row>
    <row r="18">
      <c r="A18" s="6" t="inlineStr">
        <is>
          <t>Because the synergy thesis rests on addressability of the logged-in pool, a sustained engagement/yield shortfall compounds: the realised-low inputs reduce scenario NPV well below the base case, i.e. several hundred $m of value at risk if the Trust Reset period leaves lasting friction.</t>
        </is>
      </c>
    </row>
    <row r="19">
      <c r="A19" s="6" t="inlineStr">
        <is>
          <t>Realised-low inputs are the worst observed weeks in the Q4 2025 user-metrics series (DR-048): total MAU and mobile MAU troughs and the minimum advertising-yield index.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4" customWidth="1" min="4" max="4"/>
    <col width="26" customWidth="1" min="5" max="5"/>
  </cols>
  <sheetData>
    <row r="1" ht="26" customHeight="1">
      <c r="A1" s="3" t="inlineStr">
        <is>
          <t>Total MAU (m)</t>
        </is>
      </c>
      <c r="B1" s="3" t="inlineStr">
        <is>
          <t>Implied mobile MAU (m)</t>
        </is>
      </c>
      <c r="C1" s="3" t="inlineStr">
        <is>
          <t>Volume factor</t>
        </is>
      </c>
      <c r="D1" s="3" t="inlineStr">
        <is>
          <t>Scenario synergy NPV ($m)</t>
        </is>
      </c>
      <c r="E1" s="3" t="inlineStr">
        <is>
          <t>Value at risk vs base ($m)</t>
        </is>
      </c>
    </row>
    <row r="2">
      <c r="A2" s="9" t="n">
        <v>615</v>
      </c>
      <c r="B2" s="10">
        <f>A2*408/615</f>
        <v/>
      </c>
      <c r="C2" s="11">
        <f>A2/615</f>
        <v/>
      </c>
      <c r="D2" s="10">
        <f>410*(1-8.0*(1-C2))</f>
        <v/>
      </c>
      <c r="E2" s="10">
        <f>410-D2</f>
        <v/>
      </c>
    </row>
    <row r="3">
      <c r="A3" s="9" t="n">
        <v>611</v>
      </c>
      <c r="B3" s="10">
        <f>A3*408/615</f>
        <v/>
      </c>
      <c r="C3" s="11">
        <f>A3/615</f>
        <v/>
      </c>
      <c r="D3" s="10">
        <f>410*(1-8.0*(1-C3))</f>
        <v/>
      </c>
      <c r="E3" s="10">
        <f>410-D3</f>
        <v/>
      </c>
    </row>
    <row r="4">
      <c r="A4" s="9" t="n">
        <v>606</v>
      </c>
      <c r="B4" s="10">
        <f>A4*408/615</f>
        <v/>
      </c>
      <c r="C4" s="11">
        <f>A4/615</f>
        <v/>
      </c>
      <c r="D4" s="10">
        <f>410*(1-8.0*(1-C4))</f>
        <v/>
      </c>
      <c r="E4" s="10">
        <f>410-D4</f>
        <v/>
      </c>
    </row>
    <row r="5">
      <c r="A5" s="9" t="n">
        <v>601</v>
      </c>
      <c r="B5" s="10">
        <f>A5*408/615</f>
        <v/>
      </c>
      <c r="C5" s="11">
        <f>A5/615</f>
        <v/>
      </c>
      <c r="D5" s="10">
        <f>410*(1-8.0*(1-C5))</f>
        <v/>
      </c>
      <c r="E5" s="10">
        <f>410-D5</f>
        <v/>
      </c>
    </row>
    <row r="6">
      <c r="A6" s="9" t="n">
        <v>599</v>
      </c>
      <c r="B6" s="10">
        <f>A6*408/615</f>
        <v/>
      </c>
      <c r="C6" s="11">
        <f>A6/615</f>
        <v/>
      </c>
      <c r="D6" s="10">
        <f>410*(1-8.0*(1-C6))</f>
        <v/>
      </c>
      <c r="E6" s="10">
        <f>410-D6</f>
        <v/>
      </c>
    </row>
    <row r="7">
      <c r="A7" s="9" t="n">
        <v>597</v>
      </c>
      <c r="B7" s="10">
        <f>A7*408/615</f>
        <v/>
      </c>
      <c r="C7" s="11">
        <f>A7/615</f>
        <v/>
      </c>
      <c r="D7" s="10">
        <f>410*(1-8.0*(1-C7))</f>
        <v/>
      </c>
      <c r="E7" s="10">
        <f>410-D7</f>
        <v/>
      </c>
    </row>
    <row r="8">
      <c r="A8" s="9" t="n">
        <v>594</v>
      </c>
      <c r="B8" s="10">
        <f>A8*408/615</f>
        <v/>
      </c>
      <c r="C8" s="11">
        <f>A8/615</f>
        <v/>
      </c>
      <c r="D8" s="10">
        <f>410*(1-8.0*(1-C8))</f>
        <v/>
      </c>
      <c r="E8" s="10">
        <f>410-D8</f>
        <v/>
      </c>
    </row>
    <row r="9">
      <c r="A9" s="9" t="n">
        <v>590</v>
      </c>
      <c r="B9" s="10">
        <f>A9*408/615</f>
        <v/>
      </c>
      <c r="C9" s="11">
        <f>A9/615</f>
        <v/>
      </c>
      <c r="D9" s="10">
        <f>410*(1-8.0*(1-C9))</f>
        <v/>
      </c>
      <c r="E9" s="10">
        <f>410-D9</f>
        <v/>
      </c>
    </row>
    <row r="10">
      <c r="A10" s="9" t="n">
        <v>585</v>
      </c>
      <c r="B10" s="10">
        <f>A10*408/615</f>
        <v/>
      </c>
      <c r="C10" s="11">
        <f>A10/615</f>
        <v/>
      </c>
      <c r="D10" s="10">
        <f>410*(1-8.0*(1-C10))</f>
        <v/>
      </c>
      <c r="E10" s="10">
        <f>410-D10</f>
        <v/>
      </c>
    </row>
    <row r="11">
      <c r="A11" s="6" t="inlineStr">
        <is>
          <t>Holds the advertising-yield index at the base 1.00 and flexes only total MAU, geared through the logged-in-addressability leverage. Columns C–E are live formulas. At the realised MAU trough of 594m (week of 17 November 2025, DR-048) synergy NPV falls materially on the MAU lever alone.</t>
        </is>
      </c>
    </row>
    <row r="12">
      <c r="A12" s="6" t="inlineStr">
        <is>
          <t>A buyer should not assume full MAU recovery without evidence; see the combined grid.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3" t="inlineStr">
        <is>
          <t>Total MAU (m) \ Ad-yield idx</t>
        </is>
      </c>
      <c r="B1" s="3" t="inlineStr">
        <is>
          <t>1.000</t>
        </is>
      </c>
      <c r="C1" s="3" t="inlineStr">
        <is>
          <t>0.985</t>
        </is>
      </c>
      <c r="D1" s="3" t="inlineStr">
        <is>
          <t>0.975</t>
        </is>
      </c>
      <c r="E1" s="3" t="inlineStr">
        <is>
          <t>0.965</t>
        </is>
      </c>
      <c r="F1" s="3" t="inlineStr">
        <is>
          <t>0.955</t>
        </is>
      </c>
      <c r="G1" s="3" t="inlineStr">
        <is>
          <t>0.945</t>
        </is>
      </c>
      <c r="H1" s="3" t="inlineStr">
        <is>
          <t>0.930</t>
        </is>
      </c>
    </row>
    <row r="2">
      <c r="A2" s="5" t="n">
        <v>615</v>
      </c>
      <c r="B2" s="12">
        <f>410*(1-8.0*(1-A2/615))*(1-7.5*(1-1.0))</f>
        <v/>
      </c>
      <c r="C2" s="12">
        <f>410*(1-8.0*(1-A2/615))*(1-7.5*(1-0.985))</f>
        <v/>
      </c>
      <c r="D2" s="12">
        <f>410*(1-8.0*(1-A2/615))*(1-7.5*(1-0.975))</f>
        <v/>
      </c>
      <c r="E2" s="12">
        <f>410*(1-8.0*(1-A2/615))*(1-7.5*(1-0.965))</f>
        <v/>
      </c>
      <c r="F2" s="12">
        <f>410*(1-8.0*(1-A2/615))*(1-7.5*(1-0.955))</f>
        <v/>
      </c>
      <c r="G2" s="12">
        <f>410*(1-8.0*(1-A2/615))*(1-7.5*(1-0.945))</f>
        <v/>
      </c>
      <c r="H2" s="12">
        <f>410*(1-8.0*(1-A2/615))*(1-7.5*(1-0.93))</f>
        <v/>
      </c>
    </row>
    <row r="3">
      <c r="A3" s="5" t="n">
        <v>609</v>
      </c>
      <c r="B3" s="12">
        <f>410*(1-8.0*(1-A3/615))*(1-7.5*(1-1.0))</f>
        <v/>
      </c>
      <c r="C3" s="12">
        <f>410*(1-8.0*(1-A3/615))*(1-7.5*(1-0.985))</f>
        <v/>
      </c>
      <c r="D3" s="12">
        <f>410*(1-8.0*(1-A3/615))*(1-7.5*(1-0.975))</f>
        <v/>
      </c>
      <c r="E3" s="12">
        <f>410*(1-8.0*(1-A3/615))*(1-7.5*(1-0.965))</f>
        <v/>
      </c>
      <c r="F3" s="12">
        <f>410*(1-8.0*(1-A3/615))*(1-7.5*(1-0.955))</f>
        <v/>
      </c>
      <c r="G3" s="12">
        <f>410*(1-8.0*(1-A3/615))*(1-7.5*(1-0.945))</f>
        <v/>
      </c>
      <c r="H3" s="12">
        <f>410*(1-8.0*(1-A3/615))*(1-7.5*(1-0.93))</f>
        <v/>
      </c>
    </row>
    <row r="4">
      <c r="A4" s="5" t="n">
        <v>601</v>
      </c>
      <c r="B4" s="12">
        <f>410*(1-8.0*(1-A4/615))*(1-7.5*(1-1.0))</f>
        <v/>
      </c>
      <c r="C4" s="12">
        <f>410*(1-8.0*(1-A4/615))*(1-7.5*(1-0.985))</f>
        <v/>
      </c>
      <c r="D4" s="12">
        <f>410*(1-8.0*(1-A4/615))*(1-7.5*(1-0.975))</f>
        <v/>
      </c>
      <c r="E4" s="12">
        <f>410*(1-8.0*(1-A4/615))*(1-7.5*(1-0.965))</f>
        <v/>
      </c>
      <c r="F4" s="12">
        <f>410*(1-8.0*(1-A4/615))*(1-7.5*(1-0.955))</f>
        <v/>
      </c>
      <c r="G4" s="12">
        <f>410*(1-8.0*(1-A4/615))*(1-7.5*(1-0.945))</f>
        <v/>
      </c>
      <c r="H4" s="12">
        <f>410*(1-8.0*(1-A4/615))*(1-7.5*(1-0.93))</f>
        <v/>
      </c>
    </row>
    <row r="5">
      <c r="A5" s="5" t="n">
        <v>597</v>
      </c>
      <c r="B5" s="12">
        <f>410*(1-8.0*(1-A5/615))*(1-7.5*(1-1.0))</f>
        <v/>
      </c>
      <c r="C5" s="12">
        <f>410*(1-8.0*(1-A5/615))*(1-7.5*(1-0.985))</f>
        <v/>
      </c>
      <c r="D5" s="12">
        <f>410*(1-8.0*(1-A5/615))*(1-7.5*(1-0.975))</f>
        <v/>
      </c>
      <c r="E5" s="12">
        <f>410*(1-8.0*(1-A5/615))*(1-7.5*(1-0.965))</f>
        <v/>
      </c>
      <c r="F5" s="12">
        <f>410*(1-8.0*(1-A5/615))*(1-7.5*(1-0.955))</f>
        <v/>
      </c>
      <c r="G5" s="12">
        <f>410*(1-8.0*(1-A5/615))*(1-7.5*(1-0.945))</f>
        <v/>
      </c>
      <c r="H5" s="12">
        <f>410*(1-8.0*(1-A5/615))*(1-7.5*(1-0.93))</f>
        <v/>
      </c>
    </row>
    <row r="6">
      <c r="A6" s="5" t="n">
        <v>594</v>
      </c>
      <c r="B6" s="12">
        <f>410*(1-8.0*(1-A6/615))*(1-7.5*(1-1.0))</f>
        <v/>
      </c>
      <c r="C6" s="12">
        <f>410*(1-8.0*(1-A6/615))*(1-7.5*(1-0.985))</f>
        <v/>
      </c>
      <c r="D6" s="12">
        <f>410*(1-8.0*(1-A6/615))*(1-7.5*(1-0.975))</f>
        <v/>
      </c>
      <c r="E6" s="12">
        <f>410*(1-8.0*(1-A6/615))*(1-7.5*(1-0.965))</f>
        <v/>
      </c>
      <c r="F6" s="12">
        <f>410*(1-8.0*(1-A6/615))*(1-7.5*(1-0.955))</f>
        <v/>
      </c>
      <c r="G6" s="12">
        <f>410*(1-8.0*(1-A6/615))*(1-7.5*(1-0.945))</f>
        <v/>
      </c>
      <c r="H6" s="12">
        <f>410*(1-8.0*(1-A6/615))*(1-7.5*(1-0.93))</f>
        <v/>
      </c>
    </row>
    <row r="7">
      <c r="A7" s="5" t="n">
        <v>590</v>
      </c>
      <c r="B7" s="12">
        <f>410*(1-8.0*(1-A7/615))*(1-7.5*(1-1.0))</f>
        <v/>
      </c>
      <c r="C7" s="12">
        <f>410*(1-8.0*(1-A7/615))*(1-7.5*(1-0.985))</f>
        <v/>
      </c>
      <c r="D7" s="12">
        <f>410*(1-8.0*(1-A7/615))*(1-7.5*(1-0.975))</f>
        <v/>
      </c>
      <c r="E7" s="12">
        <f>410*(1-8.0*(1-A7/615))*(1-7.5*(1-0.965))</f>
        <v/>
      </c>
      <c r="F7" s="12">
        <f>410*(1-8.0*(1-A7/615))*(1-7.5*(1-0.955))</f>
        <v/>
      </c>
      <c r="G7" s="12">
        <f>410*(1-8.0*(1-A7/615))*(1-7.5*(1-0.945))</f>
        <v/>
      </c>
      <c r="H7" s="12">
        <f>410*(1-8.0*(1-A7/615))*(1-7.5*(1-0.93))</f>
        <v/>
      </c>
    </row>
    <row r="8">
      <c r="A8" s="5" t="n">
        <v>585</v>
      </c>
      <c r="B8" s="12">
        <f>410*(1-8.0*(1-A8/615))*(1-7.5*(1-1.0))</f>
        <v/>
      </c>
      <c r="C8" s="12">
        <f>410*(1-8.0*(1-A8/615))*(1-7.5*(1-0.985))</f>
        <v/>
      </c>
      <c r="D8" s="12">
        <f>410*(1-8.0*(1-A8/615))*(1-7.5*(1-0.975))</f>
        <v/>
      </c>
      <c r="E8" s="12">
        <f>410*(1-8.0*(1-A8/615))*(1-7.5*(1-0.965))</f>
        <v/>
      </c>
      <c r="F8" s="12">
        <f>410*(1-8.0*(1-A8/615))*(1-7.5*(1-0.955))</f>
        <v/>
      </c>
      <c r="G8" s="12">
        <f>410*(1-8.0*(1-A8/615))*(1-7.5*(1-0.945))</f>
        <v/>
      </c>
      <c r="H8" s="12">
        <f>410*(1-8.0*(1-A8/615))*(1-7.5*(1-0.93))</f>
        <v/>
      </c>
    </row>
    <row r="9">
      <c r="A9" s="6" t="inlineStr">
        <is>
          <t>Two-way sensitivity: geared scenario synergy NPV ($m) as total MAU (rows) and the advertising-yield index (columns) move from base toward realised post-October levels. Interior cells are live formulas: NPV = base x [1 - VolGear x (1 - MAU/615)] x [1 - YldGear x (1 - yield index)].</t>
        </is>
      </c>
    </row>
    <row r="10">
      <c r="A10" s="6" t="inlineStr">
        <is>
          <t>Top-left cell (615m MAU, yield 1.000) reproduces the base case of $410m. The bottom-right corner (585m MAU, yield 0.930) reflects a sustained-friction scenario in which a buyer should expect synergy NPV well below the base case — i.e. several hundred $m of value at risk across the realised range if the Trust Reset period leaves lasting friction.</t>
        </is>
      </c>
    </row>
    <row r="11">
      <c r="A11" s="6" t="inlineStr">
        <is>
          <t>Inputs draw on the realised Q4 2025 user-metrics and yield series (DR-048, DR-037).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— Integration Synergy Model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