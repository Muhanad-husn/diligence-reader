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Modern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16" customWidth="1" min="4" max="4"/>
    <col width="14" customWidth="1" min="5" max="5"/>
    <col width="18" customWidth="1" min="6" max="6"/>
    <col width="14" customWidth="1" min="7" max="7"/>
    <col width="16" customWidth="1" min="8" max="8"/>
    <col width="14" customWidth="1" min="9" max="9"/>
  </cols>
  <sheetData>
    <row r="1" ht="26" customHeight="1">
      <c r="A1" s="1" t="inlineStr">
        <is>
          <t>Ref</t>
        </is>
      </c>
      <c r="B1" s="1" t="inlineStr">
        <is>
          <t>Programme / project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Original plan</t>
        </is>
      </c>
      <c r="F1" s="1" t="inlineStr">
        <is>
          <t>Revised plan</t>
        </is>
      </c>
      <c r="G1" s="1" t="inlineStr">
        <is>
          <t>FY26 spend ($m)</t>
        </is>
      </c>
      <c r="H1" s="1" t="inlineStr">
        <is>
          <t>Total budget ($m)</t>
        </is>
      </c>
      <c r="I1" s="1" t="inlineStr">
        <is>
          <t>Status</t>
        </is>
      </c>
    </row>
    <row r="2">
      <c r="A2" s="2" t="inlineStr">
        <is>
          <t>C01</t>
        </is>
      </c>
      <c r="B2" s="3" t="inlineStr">
        <is>
          <t>Data-centre refresh &amp; server fleet</t>
        </is>
      </c>
      <c r="C2" s="2" t="inlineStr">
        <is>
          <t>Infrastructure</t>
        </is>
      </c>
      <c r="D2" s="2" t="inlineStr">
        <is>
          <t>Raj Malhotra</t>
        </is>
      </c>
      <c r="E2" s="2" t="inlineStr">
        <is>
          <t>FY26</t>
        </is>
      </c>
      <c r="F2" s="2" t="inlineStr">
        <is>
          <t>FY26</t>
        </is>
      </c>
      <c r="G2" s="4" t="n">
        <v>38</v>
      </c>
      <c r="H2" s="4" t="n">
        <v>38</v>
      </c>
      <c r="I2" s="2" t="inlineStr">
        <is>
          <t>On plan</t>
        </is>
      </c>
    </row>
    <row r="3">
      <c r="A3" s="2" t="inlineStr">
        <is>
          <t>C02</t>
        </is>
      </c>
      <c r="B3" s="3" t="inlineStr">
        <is>
          <t>Snowcap data-warehouse expansion</t>
        </is>
      </c>
      <c r="C3" s="2" t="inlineStr">
        <is>
          <t>Data platform</t>
        </is>
      </c>
      <c r="D3" s="2" t="inlineStr">
        <is>
          <t>Raj Malhotra</t>
        </is>
      </c>
      <c r="E3" s="2" t="inlineStr">
        <is>
          <t>FY26</t>
        </is>
      </c>
      <c r="F3" s="2" t="inlineStr">
        <is>
          <t>FY26</t>
        </is>
      </c>
      <c r="G3" s="4" t="n">
        <v>22</v>
      </c>
      <c r="H3" s="4" t="n">
        <v>30</v>
      </c>
      <c r="I3" s="2" t="inlineStr">
        <is>
          <t>On plan</t>
        </is>
      </c>
    </row>
    <row r="4">
      <c r="A4" s="2" t="inlineStr">
        <is>
          <t>C03</t>
        </is>
      </c>
      <c r="B4" s="3" t="inlineStr">
        <is>
          <t>Authentication platform migration (VPAuth)</t>
        </is>
      </c>
      <c r="C4" s="2" t="inlineStr">
        <is>
          <t>Identity &amp; access</t>
        </is>
      </c>
      <c r="D4" s="2" t="inlineStr">
        <is>
          <t>Nina Petrov</t>
        </is>
      </c>
      <c r="E4" s="2" t="inlineStr">
        <is>
          <t>FY27</t>
        </is>
      </c>
      <c r="F4" s="2" t="inlineStr">
        <is>
          <t>FY26 (accelerated)</t>
        </is>
      </c>
      <c r="G4" s="4" t="n">
        <v>26</v>
      </c>
      <c r="H4" s="4" t="n">
        <v>31</v>
      </c>
      <c r="I4" s="2" t="inlineStr">
        <is>
          <t>Accelerated</t>
        </is>
      </c>
    </row>
    <row r="5">
      <c r="A5" s="2" t="inlineStr">
        <is>
          <t>C04</t>
        </is>
      </c>
      <c r="B5" s="3" t="inlineStr">
        <is>
          <t>Session-signing key rotation &amp; HSM</t>
        </is>
      </c>
      <c r="C5" s="2" t="inlineStr">
        <is>
          <t>Identity &amp; access</t>
        </is>
      </c>
      <c r="D5" s="2" t="inlineStr">
        <is>
          <t>Nina Petrov</t>
        </is>
      </c>
      <c r="E5" s="2" t="inlineStr">
        <is>
          <t>FY27</t>
        </is>
      </c>
      <c r="F5" s="2" t="inlineStr">
        <is>
          <t>FY26 (accelerated)</t>
        </is>
      </c>
      <c r="G5" s="4" t="n">
        <v>14</v>
      </c>
      <c r="H5" s="4" t="n">
        <v>16</v>
      </c>
      <c r="I5" s="2" t="inlineStr">
        <is>
          <t>Accelerated</t>
        </is>
      </c>
    </row>
    <row r="6">
      <c r="A6" s="2" t="inlineStr">
        <is>
          <t>C05</t>
        </is>
      </c>
      <c r="B6" s="3" t="inlineStr">
        <is>
          <t>Backup encryption &amp; retention redesign (legacy_uap)</t>
        </is>
      </c>
      <c r="C6" s="2" t="inlineStr">
        <is>
          <t>Data protection</t>
        </is>
      </c>
      <c r="D6" s="2" t="inlineStr">
        <is>
          <t>Nina Petrov</t>
        </is>
      </c>
      <c r="E6" s="2" t="inlineStr">
        <is>
          <t>FY27</t>
        </is>
      </c>
      <c r="F6" s="2" t="inlineStr">
        <is>
          <t>FY26 (accelerated)</t>
        </is>
      </c>
      <c r="G6" s="4" t="n">
        <v>19</v>
      </c>
      <c r="H6" s="4" t="n">
        <v>22</v>
      </c>
      <c r="I6" s="2" t="inlineStr">
        <is>
          <t>Accelerated</t>
        </is>
      </c>
    </row>
    <row r="7">
      <c r="A7" s="2" t="inlineStr">
        <is>
          <t>C06</t>
        </is>
      </c>
      <c r="B7" s="2" t="inlineStr">
        <is>
          <t>Mobile app re-platform</t>
        </is>
      </c>
      <c r="C7" s="2" t="inlineStr">
        <is>
          <t>Product engineering</t>
        </is>
      </c>
      <c r="D7" s="2" t="inlineStr">
        <is>
          <t>Maya Hart</t>
        </is>
      </c>
      <c r="E7" s="2" t="inlineStr">
        <is>
          <t>FY26</t>
        </is>
      </c>
      <c r="F7" s="2" t="inlineStr">
        <is>
          <t>FY26</t>
        </is>
      </c>
      <c r="G7" s="4" t="n">
        <v>17</v>
      </c>
      <c r="H7" s="4" t="n">
        <v>24</v>
      </c>
      <c r="I7" s="2" t="inlineStr">
        <is>
          <t>On plan</t>
        </is>
      </c>
    </row>
    <row r="8">
      <c r="A8" s="2" t="inlineStr">
        <is>
          <t>C07</t>
        </is>
      </c>
      <c r="B8" s="3" t="inlineStr">
        <is>
          <t>LumenX exchange capacity upgrade</t>
        </is>
      </c>
      <c r="C8" s="2" t="inlineStr">
        <is>
          <t>Advertising platform</t>
        </is>
      </c>
      <c r="D8" s="2" t="inlineStr">
        <is>
          <t>Thomas Vale</t>
        </is>
      </c>
      <c r="E8" s="2" t="inlineStr">
        <is>
          <t>FY26</t>
        </is>
      </c>
      <c r="F8" s="2" t="inlineStr">
        <is>
          <t>FY26</t>
        </is>
      </c>
      <c r="G8" s="4" t="n">
        <v>21</v>
      </c>
      <c r="H8" s="4" t="n">
        <v>28</v>
      </c>
      <c r="I8" s="2" t="inlineStr">
        <is>
          <t>On plan</t>
        </is>
      </c>
    </row>
    <row r="9">
      <c r="A9" s="2" t="inlineStr">
        <is>
          <t>C08</t>
        </is>
      </c>
      <c r="B9" s="3" t="inlineStr">
        <is>
          <t>SSOBridge federation hardening</t>
        </is>
      </c>
      <c r="C9" s="2" t="inlineStr">
        <is>
          <t>Identity &amp; access</t>
        </is>
      </c>
      <c r="D9" s="2" t="inlineStr">
        <is>
          <t>Nina Petrov</t>
        </is>
      </c>
      <c r="E9" s="2" t="inlineStr">
        <is>
          <t>FY26</t>
        </is>
      </c>
      <c r="F9" s="2" t="inlineStr">
        <is>
          <t>FY26</t>
        </is>
      </c>
      <c r="G9" s="4" t="n">
        <v>9</v>
      </c>
      <c r="H9" s="4" t="n">
        <v>12</v>
      </c>
      <c r="I9" s="2" t="inlineStr">
        <is>
          <t>On plan</t>
        </is>
      </c>
    </row>
    <row r="10">
      <c r="A10" s="2" t="inlineStr">
        <is>
          <t>C09</t>
        </is>
      </c>
      <c r="B10" s="3" t="inlineStr">
        <is>
          <t>Network &amp; edge modernisation</t>
        </is>
      </c>
      <c r="C10" s="2" t="inlineStr">
        <is>
          <t>Infrastructure</t>
        </is>
      </c>
      <c r="D10" s="2" t="inlineStr">
        <is>
          <t>Raj Malhotra</t>
        </is>
      </c>
      <c r="E10" s="2" t="inlineStr">
        <is>
          <t>FY26</t>
        </is>
      </c>
      <c r="F10" s="2" t="inlineStr">
        <is>
          <t>FY26</t>
        </is>
      </c>
      <c r="G10" s="4" t="n">
        <v>16</v>
      </c>
      <c r="H10" s="4" t="n">
        <v>23</v>
      </c>
      <c r="I10" s="2" t="inlineStr">
        <is>
          <t>On plan</t>
        </is>
      </c>
    </row>
    <row r="11">
      <c r="A11" s="2" t="inlineStr">
        <is>
          <t>C10</t>
        </is>
      </c>
      <c r="B11" s="3" t="inlineStr">
        <is>
          <t>Endpoint &amp; device management refresh</t>
        </is>
      </c>
      <c r="C11" s="2" t="inlineStr">
        <is>
          <t>IT operations</t>
        </is>
      </c>
      <c r="D11" s="2" t="inlineStr">
        <is>
          <t>Raj Malhotra</t>
        </is>
      </c>
      <c r="E11" s="2" t="inlineStr">
        <is>
          <t>FY26</t>
        </is>
      </c>
      <c r="F11" s="2" t="inlineStr">
        <is>
          <t>FY26</t>
        </is>
      </c>
      <c r="G11" s="4" t="n">
        <v>7</v>
      </c>
      <c r="H11" s="4" t="n">
        <v>9</v>
      </c>
      <c r="I11" s="2" t="inlineStr">
        <is>
          <t>On plan</t>
        </is>
      </c>
    </row>
    <row r="12">
      <c r="A12" s="2" t="inlineStr">
        <is>
          <t>C11</t>
        </is>
      </c>
      <c r="B12" s="3" t="inlineStr">
        <is>
          <t>Observability &amp; logging uplift</t>
        </is>
      </c>
      <c r="C12" s="2" t="inlineStr">
        <is>
          <t>Reliability</t>
        </is>
      </c>
      <c r="D12" s="2" t="inlineStr">
        <is>
          <t>Raj Malhotra</t>
        </is>
      </c>
      <c r="E12" s="2" t="inlineStr">
        <is>
          <t>FY26</t>
        </is>
      </c>
      <c r="F12" s="2" t="inlineStr">
        <is>
          <t>FY26</t>
        </is>
      </c>
      <c r="G12" s="4" t="n">
        <v>11</v>
      </c>
      <c r="H12" s="4" t="n">
        <v>14</v>
      </c>
      <c r="I12" s="2" t="inlineStr">
        <is>
          <t>On plan</t>
        </is>
      </c>
    </row>
    <row r="13">
      <c r="A13" s="2" t="inlineStr">
        <is>
          <t>C12</t>
        </is>
      </c>
      <c r="B13" s="3" t="inlineStr">
        <is>
          <t>Disaster-recovery &amp; resilience programme</t>
        </is>
      </c>
      <c r="C13" s="2" t="inlineStr">
        <is>
          <t>Reliability</t>
        </is>
      </c>
      <c r="D13" s="2" t="inlineStr">
        <is>
          <t>Raj Malhotra</t>
        </is>
      </c>
      <c r="E13" s="2" t="inlineStr">
        <is>
          <t>FY26</t>
        </is>
      </c>
      <c r="F13" s="2" t="inlineStr">
        <is>
          <t>FY26</t>
        </is>
      </c>
      <c r="G13" s="4" t="n">
        <v>13</v>
      </c>
      <c r="H13" s="4" t="n">
        <v>18</v>
      </c>
      <c r="I13" s="2" t="inlineStr">
        <is>
          <t>On plan</t>
        </is>
      </c>
    </row>
    <row r="14">
      <c r="A14" s="2" t="inlineStr"/>
      <c r="B14" s="3" t="inlineStr">
        <is>
          <t>Total IT modernisation backlog</t>
        </is>
      </c>
      <c r="C14" s="2" t="inlineStr"/>
      <c r="D14" s="2" t="inlineStr"/>
      <c r="E14" s="2" t="inlineStr"/>
      <c r="F14" s="2" t="inlineStr"/>
      <c r="G14" s="4">
        <f>SUM(G2:G13)</f>
        <v/>
      </c>
      <c r="H14" s="4">
        <f>SUM(H2:H13)</f>
        <v/>
      </c>
      <c r="I14" s="2" t="inlineStr"/>
    </row>
    <row r="15">
      <c r="A15" s="5" t="inlineStr">
        <is>
          <t>IT capital expenditure and modernisation backlog. FY26 spend is the planned capital outlay for the year ending 31 December 2026 ($m).</t>
        </is>
      </c>
    </row>
    <row r="16">
      <c r="A16" s="5" t="inlineStr">
        <is>
          <t>Several identity-and-access and data-protection projects have been accelerated into FY26 to modernise legacy components and reduce technical debt ahead of decommissioning.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Capex Backlog &amp; IT Modernisation Plan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