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omponents" sheetId="1" state="visible" r:id="rId1"/>
    <sheet xmlns:r="http://schemas.openxmlformats.org/officeDocument/2006/relationships" name="Pe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22" customWidth="1" min="5" max="5"/>
  </cols>
  <sheetData>
    <row r="1" ht="26" customHeight="1">
      <c r="A1" s="1" t="inlineStr">
        <is>
          <t>Month (FY2025)</t>
        </is>
      </c>
      <c r="B1" s="1" t="inlineStr">
        <is>
          <t>Receivables ($m)</t>
        </is>
      </c>
      <c r="C1" s="1" t="inlineStr">
        <is>
          <t>Payables ($m)</t>
        </is>
      </c>
      <c r="D1" s="1" t="inlineStr">
        <is>
          <t>Accruals ($m)</t>
        </is>
      </c>
      <c r="E1" s="1" t="inlineStr">
        <is>
          <t>Net working capital ($m)</t>
        </is>
      </c>
    </row>
    <row r="2">
      <c r="A2" s="2" t="inlineStr">
        <is>
          <t>Jan</t>
        </is>
      </c>
      <c r="B2" s="3" t="n">
        <v>670</v>
      </c>
      <c r="C2" s="3" t="n">
        <v>429</v>
      </c>
      <c r="D2" s="3" t="n">
        <v>351</v>
      </c>
      <c r="E2" s="3">
        <f>B2-C2-D2</f>
        <v/>
      </c>
    </row>
    <row r="3">
      <c r="A3" s="2" t="inlineStr">
        <is>
          <t>Feb</t>
        </is>
      </c>
      <c r="B3" s="3" t="n">
        <v>663</v>
      </c>
      <c r="C3" s="3" t="n">
        <v>430</v>
      </c>
      <c r="D3" s="3" t="n">
        <v>370</v>
      </c>
      <c r="E3" s="3">
        <f>B3-C3-D3</f>
        <v/>
      </c>
    </row>
    <row r="4">
      <c r="A4" s="2" t="inlineStr">
        <is>
          <t>Mar</t>
        </is>
      </c>
      <c r="B4" s="3" t="n">
        <v>700</v>
      </c>
      <c r="C4" s="3" t="n">
        <v>446</v>
      </c>
      <c r="D4" s="3" t="n">
        <v>366</v>
      </c>
      <c r="E4" s="3">
        <f>B4-C4-D4</f>
        <v/>
      </c>
    </row>
    <row r="5">
      <c r="A5" s="2" t="inlineStr">
        <is>
          <t>Apr</t>
        </is>
      </c>
      <c r="B5" s="3" t="n">
        <v>672</v>
      </c>
      <c r="C5" s="3" t="n">
        <v>438</v>
      </c>
      <c r="D5" s="3" t="n">
        <v>374</v>
      </c>
      <c r="E5" s="3">
        <f>B5-C5-D5</f>
        <v/>
      </c>
    </row>
    <row r="6">
      <c r="A6" s="2" t="inlineStr">
        <is>
          <t>May</t>
        </is>
      </c>
      <c r="B6" s="3" t="n">
        <v>691</v>
      </c>
      <c r="C6" s="3" t="n">
        <v>430</v>
      </c>
      <c r="D6" s="3" t="n">
        <v>366</v>
      </c>
      <c r="E6" s="3">
        <f>B6-C6-D6</f>
        <v/>
      </c>
    </row>
    <row r="7">
      <c r="A7" s="2" t="inlineStr">
        <is>
          <t>Jun</t>
        </is>
      </c>
      <c r="B7" s="3" t="n">
        <v>667</v>
      </c>
      <c r="C7" s="3" t="n">
        <v>441</v>
      </c>
      <c r="D7" s="3" t="n">
        <v>375</v>
      </c>
      <c r="E7" s="3">
        <f>B7-C7-D7</f>
        <v/>
      </c>
    </row>
    <row r="8">
      <c r="A8" s="2" t="inlineStr">
        <is>
          <t>Jul</t>
        </is>
      </c>
      <c r="B8" s="3" t="n">
        <v>694</v>
      </c>
      <c r="C8" s="3" t="n">
        <v>427</v>
      </c>
      <c r="D8" s="3" t="n">
        <v>375</v>
      </c>
      <c r="E8" s="3">
        <f>B8-C8-D8</f>
        <v/>
      </c>
    </row>
    <row r="9">
      <c r="A9" s="2" t="inlineStr">
        <is>
          <t>Aug</t>
        </is>
      </c>
      <c r="B9" s="3" t="n">
        <v>684</v>
      </c>
      <c r="C9" s="3" t="n">
        <v>442</v>
      </c>
      <c r="D9" s="3" t="n">
        <v>357</v>
      </c>
      <c r="E9" s="3">
        <f>B9-C9-D9</f>
        <v/>
      </c>
    </row>
    <row r="10">
      <c r="A10" s="2" t="inlineStr">
        <is>
          <t>Sep</t>
        </is>
      </c>
      <c r="B10" s="3" t="n">
        <v>669</v>
      </c>
      <c r="C10" s="3" t="n">
        <v>417</v>
      </c>
      <c r="D10" s="3" t="n">
        <v>359</v>
      </c>
      <c r="E10" s="3">
        <f>B10-C10-D10</f>
        <v/>
      </c>
    </row>
    <row r="11">
      <c r="A11" s="2" t="inlineStr">
        <is>
          <t>Oct</t>
        </is>
      </c>
      <c r="B11" s="3" t="n">
        <v>695</v>
      </c>
      <c r="C11" s="3" t="n">
        <v>415</v>
      </c>
      <c r="D11" s="3" t="n">
        <v>378</v>
      </c>
      <c r="E11" s="3">
        <f>B11-C11-D11</f>
        <v/>
      </c>
    </row>
    <row r="12">
      <c r="A12" s="2" t="inlineStr">
        <is>
          <t>Nov</t>
        </is>
      </c>
      <c r="B12" s="3" t="n">
        <v>679</v>
      </c>
      <c r="C12" s="3" t="n">
        <v>448</v>
      </c>
      <c r="D12" s="3" t="n">
        <v>377</v>
      </c>
      <c r="E12" s="3">
        <f>B12-C12-D12</f>
        <v/>
      </c>
    </row>
    <row r="13">
      <c r="A13" s="2" t="inlineStr">
        <is>
          <t>Dec</t>
        </is>
      </c>
      <c r="B13" s="3" t="n">
        <v>667</v>
      </c>
      <c r="C13" s="3" t="n">
        <v>427</v>
      </c>
      <c r="D13" s="3" t="n">
        <v>356</v>
      </c>
      <c r="E13" s="3">
        <f>B13-C13-D13</f>
        <v/>
      </c>
    </row>
    <row r="14">
      <c r="A14" s="2" t="inlineStr">
        <is>
          <t>12-month average</t>
        </is>
      </c>
      <c r="B14" s="3">
        <f>AVERAGE(B2:B13)</f>
        <v/>
      </c>
      <c r="C14" s="3">
        <f>AVERAGE(C2:C13)</f>
        <v/>
      </c>
      <c r="D14" s="3">
        <f>AVERAGE(D2:D13)</f>
        <v/>
      </c>
      <c r="E14" s="3">
        <f>AVERAGE(E2:E13)</f>
        <v/>
      </c>
    </row>
    <row r="15">
      <c r="A15" s="4" t="inlineStr">
        <is>
          <t>Net working capital = receivables − payables − accruals. Monthly figures are management estimates ($m).</t>
        </is>
      </c>
    </row>
    <row r="16">
      <c r="A16" s="4" t="inlineStr">
        <is>
          <t>The proposed peg is the 12-month average net working capital (see Peg Summary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 ht="26" customHeight="1">
      <c r="A1" s="1" t="inlineStr">
        <is>
          <t>Item</t>
        </is>
      </c>
      <c r="B1" s="1" t="inlineStr">
        <is>
          <t>$m</t>
        </is>
      </c>
      <c r="C1" s="1" t="inlineStr">
        <is>
          <t>Basis</t>
        </is>
      </c>
    </row>
    <row r="2">
      <c r="A2" s="5" t="inlineStr">
        <is>
          <t>Average receivables (12-mo)</t>
        </is>
      </c>
      <c r="B2" s="6">
        <f>AVERAGE('NWC Components'!B2:B13)</f>
        <v/>
      </c>
      <c r="C2" s="2" t="inlineStr">
        <is>
          <t>Rolling average</t>
        </is>
      </c>
    </row>
    <row r="3">
      <c r="A3" s="5" t="inlineStr">
        <is>
          <t>Average payables (12-mo)</t>
        </is>
      </c>
      <c r="B3" s="6">
        <f>AVERAGE('NWC Components'!C2:C13)</f>
        <v/>
      </c>
      <c r="C3" s="2" t="inlineStr">
        <is>
          <t>Rolling average</t>
        </is>
      </c>
    </row>
    <row r="4">
      <c r="A4" s="5" t="inlineStr">
        <is>
          <t>Average accruals (12-mo)</t>
        </is>
      </c>
      <c r="B4" s="6">
        <f>AVERAGE('NWC Components'!D2:D13)</f>
        <v/>
      </c>
      <c r="C4" s="2" t="inlineStr">
        <is>
          <t>Rolling average</t>
        </is>
      </c>
    </row>
    <row r="5">
      <c r="A5" s="5" t="inlineStr">
        <is>
          <t>Proposed working-capital peg</t>
        </is>
      </c>
      <c r="B5" s="3">
        <f>B2-B3-B4</f>
        <v/>
      </c>
      <c r="C5" s="5" t="inlineStr">
        <is>
          <t>Avg receivables − payables − accruals</t>
        </is>
      </c>
    </row>
    <row r="6">
      <c r="A6" s="5" t="inlineStr">
        <is>
          <t>Memo: operating lease commitments (annual)</t>
        </is>
      </c>
      <c r="B6" s="3" t="n">
        <v>28</v>
      </c>
      <c r="C6" s="5" t="inlineStr">
        <is>
          <t>Property &amp; equipment leases (off-peg)</t>
        </is>
      </c>
    </row>
    <row r="7">
      <c r="A7" s="4" t="inlineStr">
        <is>
          <t>The peg is set on a debt-free, cash-free basis. Operating lease commitments are shown as a memo item and are treated outside the working-capital peg.</t>
        </is>
      </c>
    </row>
    <row r="8">
      <c r="A8" s="4" t="inlineStr">
        <is>
          <t>Accruals reflect amounts recorded in the management accounts; no adjustment is made for matters not yet quantified or recognised.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Working Capital Peg Model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