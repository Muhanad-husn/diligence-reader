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Product" sheetId="1" state="visible" r:id="rId1"/>
    <sheet xmlns:r="http://schemas.openxmlformats.org/officeDocument/2006/relationships" name="FY2025 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color rgb="00FFFFFF"/>
      <sz val="9.5"/>
    </font>
    <font>
      <i val="1"/>
      <color rgb="006B7785"/>
      <sz val="8.5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3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2" customWidth="1" min="7" max="7"/>
  </cols>
  <sheetData>
    <row r="1" ht="26" customHeight="1">
      <c r="A1" s="1" t="inlineStr">
        <is>
          <t>Product</t>
        </is>
      </c>
      <c r="B1" s="1" t="inlineStr">
        <is>
          <t>FY2023 ($m)</t>
        </is>
      </c>
      <c r="C1" s="1" t="inlineStr">
        <is>
          <t>FY2024 ($m)</t>
        </is>
      </c>
      <c r="D1" s="1" t="inlineStr">
        <is>
          <t>FY2025 ($m)</t>
        </is>
      </c>
      <c r="E1" s="1" t="inlineStr">
        <is>
          <t>FY24 growth %</t>
        </is>
      </c>
      <c r="F1" s="1" t="inlineStr">
        <is>
          <t>FY25 growth %</t>
        </is>
      </c>
      <c r="G1" s="1" t="inlineStr">
        <is>
          <t>% of FY25</t>
        </is>
      </c>
    </row>
    <row r="2">
      <c r="A2" s="2" t="inlineStr">
        <is>
          <t>Search</t>
        </is>
      </c>
      <c r="B2" s="3" t="n">
        <v>1402</v>
      </c>
      <c r="C2" s="3" t="n">
        <v>1455</v>
      </c>
      <c r="D2" s="3" t="n">
        <v>1480</v>
      </c>
      <c r="E2" s="4">
        <f>(C2-B2)/B2</f>
        <v/>
      </c>
      <c r="F2" s="4">
        <f>(D2-C2)/C2</f>
        <v/>
      </c>
      <c r="G2" s="4">
        <f>D2/$D$9</f>
        <v/>
      </c>
    </row>
    <row r="3">
      <c r="A3" s="5" t="inlineStr">
        <is>
          <t>LumenX programmatic ads</t>
        </is>
      </c>
      <c r="B3" s="3" t="n">
        <v>1720</v>
      </c>
      <c r="C3" s="3" t="n">
        <v>1835</v>
      </c>
      <c r="D3" s="3" t="n">
        <v>1910</v>
      </c>
      <c r="E3" s="4">
        <f>(C3-B3)/B3</f>
        <v/>
      </c>
      <c r="F3" s="4">
        <f>(D3-C3)/C3</f>
        <v/>
      </c>
      <c r="G3" s="4">
        <f>D3/$D$9</f>
        <v/>
      </c>
    </row>
    <row r="4">
      <c r="A4" s="2" t="inlineStr">
        <is>
          <t>News</t>
        </is>
      </c>
      <c r="B4" s="3" t="n">
        <v>372</v>
      </c>
      <c r="C4" s="3" t="n">
        <v>366</v>
      </c>
      <c r="D4" s="3" t="n">
        <v>360</v>
      </c>
      <c r="E4" s="4">
        <f>(C4-B4)/B4</f>
        <v/>
      </c>
      <c r="F4" s="4">
        <f>(D4-C4)/C4</f>
        <v/>
      </c>
      <c r="G4" s="4">
        <f>D4/$D$9</f>
        <v/>
      </c>
    </row>
    <row r="5">
      <c r="A5" s="2" t="inlineStr">
        <is>
          <t>Sports</t>
        </is>
      </c>
      <c r="B5" s="3" t="n">
        <v>300</v>
      </c>
      <c r="C5" s="3" t="n">
        <v>318</v>
      </c>
      <c r="D5" s="3" t="n">
        <v>330</v>
      </c>
      <c r="E5" s="4">
        <f>(C5-B5)/B5</f>
        <v/>
      </c>
      <c r="F5" s="4">
        <f>(D5-C5)/C5</f>
        <v/>
      </c>
      <c r="G5" s="4">
        <f>D5/$D$9</f>
        <v/>
      </c>
    </row>
    <row r="6">
      <c r="A6" s="2" t="inlineStr">
        <is>
          <t>Finance</t>
        </is>
      </c>
      <c r="B6" s="3" t="n">
        <v>268</v>
      </c>
      <c r="C6" s="3" t="n">
        <v>286</v>
      </c>
      <c r="D6" s="3" t="n">
        <v>300</v>
      </c>
      <c r="E6" s="4">
        <f>(C6-B6)/B6</f>
        <v/>
      </c>
      <c r="F6" s="4">
        <f>(D6-C6)/C6</f>
        <v/>
      </c>
      <c r="G6" s="4">
        <f>D6/$D$9</f>
        <v/>
      </c>
    </row>
    <row r="7">
      <c r="A7" s="5" t="inlineStr">
        <is>
          <t>VistaMail &amp; Communications</t>
        </is>
      </c>
      <c r="B7" s="3" t="n">
        <v>240</v>
      </c>
      <c r="C7" s="3" t="n">
        <v>248</v>
      </c>
      <c r="D7" s="3" t="n">
        <v>250</v>
      </c>
      <c r="E7" s="4">
        <f>(C7-B7)/B7</f>
        <v/>
      </c>
      <c r="F7" s="4">
        <f>(D7-C7)/C7</f>
        <v/>
      </c>
      <c r="G7" s="4">
        <f>D7/$D$9</f>
        <v/>
      </c>
    </row>
    <row r="8">
      <c r="A8" s="2" t="inlineStr">
        <is>
          <t>Subscriptions &amp; Other</t>
        </is>
      </c>
      <c r="B8" s="3" t="n">
        <v>430</v>
      </c>
      <c r="C8" s="3" t="n">
        <v>482</v>
      </c>
      <c r="D8" s="3" t="n">
        <v>520</v>
      </c>
      <c r="E8" s="4">
        <f>(C8-B8)/B8</f>
        <v/>
      </c>
      <c r="F8" s="4">
        <f>(D8-C8)/C8</f>
        <v/>
      </c>
      <c r="G8" s="4">
        <f>D8/$D$9</f>
        <v/>
      </c>
    </row>
    <row r="9">
      <c r="A9" s="2" t="inlineStr">
        <is>
          <t>Total revenue</t>
        </is>
      </c>
      <c r="B9" s="3">
        <f>SUM(B2:B8)</f>
        <v/>
      </c>
      <c r="C9" s="3">
        <f>SUM(C2:C8)</f>
        <v/>
      </c>
      <c r="D9" s="3">
        <f>SUM(D2:D8)</f>
        <v/>
      </c>
      <c r="E9" s="4">
        <f>(C9-B9)/B9</f>
        <v/>
      </c>
      <c r="F9" s="4">
        <f>(D9-C9)/C9</f>
        <v/>
      </c>
      <c r="G9" s="4">
        <f>D9/$D$9</f>
        <v/>
      </c>
    </row>
    <row r="10">
      <c r="A10" s="6" t="inlineStr">
        <is>
          <t>Source: management consolidation. FY2025 figures are draft/unaudited.</t>
        </is>
      </c>
    </row>
    <row r="11">
      <c r="A11" s="6" t="inlineStr">
        <is>
          <t>Totals and percentages are computed by formula.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</cols>
  <sheetData>
    <row r="1" ht="26" customHeight="1">
      <c r="A1" s="1" t="inlineStr">
        <is>
          <t>Product</t>
        </is>
      </c>
      <c r="B1" s="1" t="inlineStr">
        <is>
          <t>Q1 ($m)</t>
        </is>
      </c>
      <c r="C1" s="1" t="inlineStr">
        <is>
          <t>Q2 ($m)</t>
        </is>
      </c>
      <c r="D1" s="1" t="inlineStr">
        <is>
          <t>Q3 ($m)</t>
        </is>
      </c>
      <c r="E1" s="1" t="inlineStr">
        <is>
          <t>Q4 ($m)</t>
        </is>
      </c>
      <c r="F1" s="1" t="inlineStr">
        <is>
          <t>FY2025 total ($m)</t>
        </is>
      </c>
    </row>
    <row r="2">
      <c r="A2" s="2" t="inlineStr">
        <is>
          <t>Search</t>
        </is>
      </c>
      <c r="B2" s="3" t="n">
        <v>363</v>
      </c>
      <c r="C2" s="3" t="n">
        <v>370</v>
      </c>
      <c r="D2" s="3" t="n">
        <v>373</v>
      </c>
      <c r="E2" s="3" t="n">
        <v>374</v>
      </c>
      <c r="F2" s="3">
        <f>SUM(B2:E2)</f>
        <v/>
      </c>
    </row>
    <row r="3">
      <c r="A3" s="5" t="inlineStr">
        <is>
          <t>LumenX programmatic ads</t>
        </is>
      </c>
      <c r="B3" s="3" t="n">
        <v>487</v>
      </c>
      <c r="C3" s="3" t="n">
        <v>487</v>
      </c>
      <c r="D3" s="3" t="n">
        <v>497</v>
      </c>
      <c r="E3" s="3" t="n">
        <v>439</v>
      </c>
      <c r="F3" s="3">
        <f>SUM(B3:E3)</f>
        <v/>
      </c>
    </row>
    <row r="4">
      <c r="A4" s="2" t="inlineStr">
        <is>
          <t>News</t>
        </is>
      </c>
      <c r="B4" s="3" t="n">
        <v>88</v>
      </c>
      <c r="C4" s="3" t="n">
        <v>90</v>
      </c>
      <c r="D4" s="3" t="n">
        <v>91</v>
      </c>
      <c r="E4" s="3" t="n">
        <v>91</v>
      </c>
      <c r="F4" s="3">
        <f>SUM(B4:E4)</f>
        <v/>
      </c>
    </row>
    <row r="5">
      <c r="A5" s="2" t="inlineStr">
        <is>
          <t>Sports</t>
        </is>
      </c>
      <c r="B5" s="3" t="n">
        <v>81</v>
      </c>
      <c r="C5" s="3" t="n">
        <v>82</v>
      </c>
      <c r="D5" s="3" t="n">
        <v>83</v>
      </c>
      <c r="E5" s="3" t="n">
        <v>84</v>
      </c>
      <c r="F5" s="3">
        <f>SUM(B5:E5)</f>
        <v/>
      </c>
    </row>
    <row r="6">
      <c r="A6" s="2" t="inlineStr">
        <is>
          <t>Finance</t>
        </is>
      </c>
      <c r="B6" s="3" t="n">
        <v>74</v>
      </c>
      <c r="C6" s="3" t="n">
        <v>75</v>
      </c>
      <c r="D6" s="3" t="n">
        <v>76</v>
      </c>
      <c r="E6" s="3" t="n">
        <v>75</v>
      </c>
      <c r="F6" s="3">
        <f>SUM(B6:E6)</f>
        <v/>
      </c>
    </row>
    <row r="7">
      <c r="A7" s="5" t="inlineStr">
        <is>
          <t>VistaMail &amp; Communications</t>
        </is>
      </c>
      <c r="B7" s="3" t="n">
        <v>61</v>
      </c>
      <c r="C7" s="3" t="n">
        <v>62</v>
      </c>
      <c r="D7" s="3" t="n">
        <v>63</v>
      </c>
      <c r="E7" s="3" t="n">
        <v>64</v>
      </c>
      <c r="F7" s="3">
        <f>SUM(B7:E7)</f>
        <v/>
      </c>
    </row>
    <row r="8">
      <c r="A8" s="2" t="inlineStr">
        <is>
          <t>Subscriptions &amp; Other</t>
        </is>
      </c>
      <c r="B8" s="3" t="n">
        <v>127</v>
      </c>
      <c r="C8" s="3" t="n">
        <v>130</v>
      </c>
      <c r="D8" s="3" t="n">
        <v>131</v>
      </c>
      <c r="E8" s="3" t="n">
        <v>132</v>
      </c>
      <c r="F8" s="3">
        <f>SUM(B8:E8)</f>
        <v/>
      </c>
    </row>
    <row r="9">
      <c r="A9" s="2" t="inlineStr">
        <is>
          <t>Total revenue</t>
        </is>
      </c>
      <c r="B9" s="3">
        <f>SUM(B2:B8)</f>
        <v/>
      </c>
      <c r="C9" s="3">
        <f>SUM(C2:C8)</f>
        <v/>
      </c>
      <c r="D9" s="3">
        <f>SUM(D2:D8)</f>
        <v/>
      </c>
      <c r="E9" s="3">
        <f>SUM(E2:E8)</f>
        <v/>
      </c>
      <c r="F9" s="3">
        <f>SUM(F2:F8)</f>
        <v/>
      </c>
    </row>
    <row r="10">
      <c r="A10" s="6" t="inlineStr">
        <is>
          <t>FY2025 quarterly split is management's estimate; full-year totals reconcile to the by-product sheet (group total $5,150m).</t>
        </is>
      </c>
    </row>
    <row r="11">
      <c r="A11" s="6" t="inlineStr">
        <is>
          <t>Q4 advertising revenue reflects modest late-year softness in delivered impressions; full-year revenue is unaffected.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VistaPort Media Inc.</dc:creator>
  <dc:title xmlns:dc="http://purl.org/dc/elements/1.1/">Revenue by Product FY2023-FY2025</dc:title>
  <dcterms:created xmlns:dcterms="http://purl.org/dc/terms/" xmlns:xsi="http://www.w3.org/2001/XMLSchema-instance" xsi:type="dcterms:W3CDTF">2026-02-02T00:00:00Z</dcterms:created>
  <dcterms:modified xmlns:dcterms="http://purl.org/dc/terms/" xmlns:xsi="http://www.w3.org/2001/XMLSchema-instance" xsi:type="dcterms:W3CDTF">2026-02-02T00:00:00Z</dcterms:modified>
</cp:coreProperties>
</file>