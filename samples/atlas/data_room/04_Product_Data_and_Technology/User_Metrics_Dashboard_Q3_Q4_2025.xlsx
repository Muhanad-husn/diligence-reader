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MAU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;-#,##0.0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00FFFFFF"/>
      <sz val="9.5"/>
    </font>
    <font>
      <i val="1"/>
      <color rgb="006B7785"/>
      <sz val="8.5"/>
    </font>
    <font>
      <b val="1"/>
      <color rgb="001F3A5F"/>
      <sz val="13"/>
    </font>
    <font>
      <i val="1"/>
      <color rgb="0034495E"/>
      <sz val="9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6" customWidth="1" min="4" max="4"/>
    <col width="18" customWidth="1" min="5" max="5"/>
    <col width="26" customWidth="1" min="6" max="6"/>
    <col width="26" customWidth="1" min="7" max="7"/>
    <col width="16" customWidth="1" min="8" max="8"/>
    <col width="16" customWidth="1" min="9" max="9"/>
    <col width="16" customWidth="1" min="10" max="10"/>
  </cols>
  <sheetData>
    <row r="1" ht="26" customHeight="1">
      <c r="A1" s="1" t="inlineStr">
        <is>
          <t>Week commencing</t>
        </is>
      </c>
      <c r="B1" s="1" t="inlineStr">
        <is>
          <t>Total MAU (m) — as reported</t>
        </is>
      </c>
      <c r="C1" s="1" t="inlineStr">
        <is>
          <t>Mobile MAU (m) — as reported</t>
        </is>
      </c>
      <c r="D1" s="1" t="inlineStr">
        <is>
          <t>DAU (m) — as reported</t>
        </is>
      </c>
      <c r="E1" s="1" t="inlineStr">
        <is>
          <t>Email WAU (m) — as reported</t>
        </is>
      </c>
      <c r="F1" s="1" t="inlineStr">
        <is>
          <t>Total MAU (m) — as adjusted (ex-Trust Reset friction)</t>
        </is>
      </c>
      <c r="G1" s="1" t="inlineStr">
        <is>
          <t>Email WAU (m) — as adjusted (ex-Trust Reset friction)</t>
        </is>
      </c>
      <c r="H1" s="1" t="inlineStr">
        <is>
          <t>Total MAU plan (m)</t>
        </is>
      </c>
      <c r="I1" s="1" t="inlineStr">
        <is>
          <t>Variance to plan (m)</t>
        </is>
      </c>
      <c r="J1" s="1" t="inlineStr">
        <is>
          <t>Variance to plan (%)</t>
        </is>
      </c>
    </row>
    <row r="2">
      <c r="A2" s="2" t="inlineStr">
        <is>
          <t>1 September 2025</t>
        </is>
      </c>
      <c r="B2" s="3" t="n">
        <v>614</v>
      </c>
      <c r="C2" s="3" t="n">
        <v>407</v>
      </c>
      <c r="D2" s="3" t="n">
        <v>252</v>
      </c>
      <c r="E2" s="3" t="n">
        <v>168</v>
      </c>
      <c r="F2" s="3" t="n">
        <v>614</v>
      </c>
      <c r="G2" s="3" t="n">
        <v>168</v>
      </c>
      <c r="H2" s="3" t="n">
        <v>615</v>
      </c>
      <c r="I2" s="4">
        <f>B2-H2</f>
        <v/>
      </c>
      <c r="J2" s="5">
        <f>IF(H2=0,0,(B2-H2)/H2)</f>
        <v/>
      </c>
    </row>
    <row r="3">
      <c r="A3" s="2" t="inlineStr">
        <is>
          <t>8 September 2025</t>
        </is>
      </c>
      <c r="B3" s="3" t="n">
        <v>615</v>
      </c>
      <c r="C3" s="3" t="n">
        <v>408</v>
      </c>
      <c r="D3" s="3" t="n">
        <v>253</v>
      </c>
      <c r="E3" s="3" t="n">
        <v>167</v>
      </c>
      <c r="F3" s="3" t="n">
        <v>615</v>
      </c>
      <c r="G3" s="3" t="n">
        <v>167</v>
      </c>
      <c r="H3" s="3" t="n">
        <v>616</v>
      </c>
      <c r="I3" s="4">
        <f>B3-H3</f>
        <v/>
      </c>
      <c r="J3" s="5">
        <f>IF(H3=0,0,(B3-H3)/H3)</f>
        <v/>
      </c>
    </row>
    <row r="4">
      <c r="A4" s="2" t="inlineStr">
        <is>
          <t>15 September 2025</t>
        </is>
      </c>
      <c r="B4" s="3" t="n">
        <v>616</v>
      </c>
      <c r="C4" s="3" t="n">
        <v>409</v>
      </c>
      <c r="D4" s="3" t="n">
        <v>254</v>
      </c>
      <c r="E4" s="3" t="n">
        <v>169</v>
      </c>
      <c r="F4" s="3" t="n">
        <v>616</v>
      </c>
      <c r="G4" s="3" t="n">
        <v>169</v>
      </c>
      <c r="H4" s="3" t="n">
        <v>617</v>
      </c>
      <c r="I4" s="4">
        <f>B4-H4</f>
        <v/>
      </c>
      <c r="J4" s="5">
        <f>IF(H4=0,0,(B4-H4)/H4)</f>
        <v/>
      </c>
    </row>
    <row r="5">
      <c r="A5" s="2" t="inlineStr">
        <is>
          <t>22 September 2025</t>
        </is>
      </c>
      <c r="B5" s="3" t="n">
        <v>615</v>
      </c>
      <c r="C5" s="3" t="n">
        <v>408</v>
      </c>
      <c r="D5" s="3" t="n">
        <v>253</v>
      </c>
      <c r="E5" s="3" t="n">
        <v>168</v>
      </c>
      <c r="F5" s="3" t="n">
        <v>615</v>
      </c>
      <c r="G5" s="3" t="n">
        <v>168</v>
      </c>
      <c r="H5" s="3" t="n">
        <v>617</v>
      </c>
      <c r="I5" s="4">
        <f>B5-H5</f>
        <v/>
      </c>
      <c r="J5" s="5">
        <f>IF(H5=0,0,(B5-H5)/H5)</f>
        <v/>
      </c>
    </row>
    <row r="6">
      <c r="A6" s="2" t="inlineStr">
        <is>
          <t>29 September 2025</t>
        </is>
      </c>
      <c r="B6" s="3" t="n">
        <v>617</v>
      </c>
      <c r="C6" s="3" t="n">
        <v>410</v>
      </c>
      <c r="D6" s="3" t="n">
        <v>255</v>
      </c>
      <c r="E6" s="3" t="n">
        <v>170</v>
      </c>
      <c r="F6" s="3" t="n">
        <v>617</v>
      </c>
      <c r="G6" s="3" t="n">
        <v>170</v>
      </c>
      <c r="H6" s="3" t="n">
        <v>618</v>
      </c>
      <c r="I6" s="4">
        <f>B6-H6</f>
        <v/>
      </c>
      <c r="J6" s="5">
        <f>IF(H6=0,0,(B6-H6)/H6)</f>
        <v/>
      </c>
    </row>
    <row r="7">
      <c r="A7" s="2" t="inlineStr">
        <is>
          <t>6 October 2025</t>
        </is>
      </c>
      <c r="B7" s="3" t="n">
        <v>616</v>
      </c>
      <c r="C7" s="3" t="n">
        <v>409</v>
      </c>
      <c r="D7" s="3" t="n">
        <v>254</v>
      </c>
      <c r="E7" s="3" t="n">
        <v>169</v>
      </c>
      <c r="F7" s="3" t="n">
        <v>616</v>
      </c>
      <c r="G7" s="3" t="n">
        <v>169</v>
      </c>
      <c r="H7" s="3" t="n">
        <v>618</v>
      </c>
      <c r="I7" s="4">
        <f>B7-H7</f>
        <v/>
      </c>
      <c r="J7" s="5">
        <f>IF(H7=0,0,(B7-H7)/H7)</f>
        <v/>
      </c>
    </row>
    <row r="8">
      <c r="A8" s="2" t="inlineStr">
        <is>
          <t>13 October 2025</t>
        </is>
      </c>
      <c r="B8" s="3" t="n">
        <v>615</v>
      </c>
      <c r="C8" s="3" t="n">
        <v>408</v>
      </c>
      <c r="D8" s="3" t="n">
        <v>253</v>
      </c>
      <c r="E8" s="3" t="n">
        <v>168</v>
      </c>
      <c r="F8" s="3" t="n">
        <v>615</v>
      </c>
      <c r="G8" s="3" t="n">
        <v>168</v>
      </c>
      <c r="H8" s="3" t="n">
        <v>619</v>
      </c>
      <c r="I8" s="4">
        <f>B8-H8</f>
        <v/>
      </c>
      <c r="J8" s="5">
        <f>IF(H8=0,0,(B8-H8)/H8)</f>
        <v/>
      </c>
    </row>
    <row r="9">
      <c r="A9" s="2" t="inlineStr">
        <is>
          <t>20 October 2025</t>
        </is>
      </c>
      <c r="B9" s="3" t="n">
        <v>611</v>
      </c>
      <c r="C9" s="3" t="n">
        <v>405</v>
      </c>
      <c r="D9" s="3" t="n">
        <v>250</v>
      </c>
      <c r="E9" s="3" t="n">
        <v>165</v>
      </c>
      <c r="F9" s="3" t="n">
        <v>615</v>
      </c>
      <c r="G9" s="3" t="n">
        <v>168</v>
      </c>
      <c r="H9" s="3" t="n">
        <v>620</v>
      </c>
      <c r="I9" s="4">
        <f>B9-H9</f>
        <v/>
      </c>
      <c r="J9" s="5">
        <f>IF(H9=0,0,(B9-H9)/H9)</f>
        <v/>
      </c>
    </row>
    <row r="10">
      <c r="A10" s="2" t="inlineStr">
        <is>
          <t>27 October 2025</t>
        </is>
      </c>
      <c r="B10" s="3" t="n">
        <v>606</v>
      </c>
      <c r="C10" s="3" t="n">
        <v>401</v>
      </c>
      <c r="D10" s="3" t="n">
        <v>247</v>
      </c>
      <c r="E10" s="3" t="n">
        <v>161</v>
      </c>
      <c r="F10" s="3" t="n">
        <v>614</v>
      </c>
      <c r="G10" s="3" t="n">
        <v>167</v>
      </c>
      <c r="H10" s="3" t="n">
        <v>621</v>
      </c>
      <c r="I10" s="4">
        <f>B10-H10</f>
        <v/>
      </c>
      <c r="J10" s="6">
        <f>IF(H10=0,0,(B10-H10)/H10)</f>
        <v/>
      </c>
    </row>
    <row r="11">
      <c r="A11" s="2" t="inlineStr">
        <is>
          <t>3 November 2025</t>
        </is>
      </c>
      <c r="B11" s="3" t="n">
        <v>599</v>
      </c>
      <c r="C11" s="3" t="n">
        <v>394</v>
      </c>
      <c r="D11" s="3" t="n">
        <v>243</v>
      </c>
      <c r="E11" s="3" t="n">
        <v>154</v>
      </c>
      <c r="F11" s="3" t="n">
        <v>613</v>
      </c>
      <c r="G11" s="3" t="n">
        <v>166</v>
      </c>
      <c r="H11" s="3" t="n">
        <v>622</v>
      </c>
      <c r="I11" s="4">
        <f>B11-H11</f>
        <v/>
      </c>
      <c r="J11" s="6">
        <f>IF(H11=0,0,(B11-H11)/H11)</f>
        <v/>
      </c>
    </row>
    <row r="12">
      <c r="A12" s="2" t="inlineStr">
        <is>
          <t>10 November 2025</t>
        </is>
      </c>
      <c r="B12" s="3" t="n">
        <v>594</v>
      </c>
      <c r="C12" s="3" t="n">
        <v>389</v>
      </c>
      <c r="D12" s="3" t="n">
        <v>240</v>
      </c>
      <c r="E12" s="3" t="n">
        <v>149</v>
      </c>
      <c r="F12" s="3" t="n">
        <v>612</v>
      </c>
      <c r="G12" s="3" t="n">
        <v>165</v>
      </c>
      <c r="H12" s="3" t="n">
        <v>623</v>
      </c>
      <c r="I12" s="4">
        <f>B12-H12</f>
        <v/>
      </c>
      <c r="J12" s="6">
        <f>IF(H12=0,0,(B12-H12)/H12)</f>
        <v/>
      </c>
    </row>
    <row r="13">
      <c r="A13" s="2" t="inlineStr">
        <is>
          <t>17 November 2025</t>
        </is>
      </c>
      <c r="B13" s="3" t="n">
        <v>597</v>
      </c>
      <c r="C13" s="3" t="n">
        <v>391</v>
      </c>
      <c r="D13" s="3" t="n">
        <v>242</v>
      </c>
      <c r="E13" s="3" t="n">
        <v>151</v>
      </c>
      <c r="F13" s="3" t="n">
        <v>611</v>
      </c>
      <c r="G13" s="3" t="n">
        <v>164</v>
      </c>
      <c r="H13" s="3" t="n">
        <v>624</v>
      </c>
      <c r="I13" s="4">
        <f>B13-H13</f>
        <v/>
      </c>
      <c r="J13" s="6">
        <f>IF(H13=0,0,(B13-H13)/H13)</f>
        <v/>
      </c>
    </row>
    <row r="14">
      <c r="A14" s="2" t="inlineStr">
        <is>
          <t>24 November 2025</t>
        </is>
      </c>
      <c r="B14" s="3" t="n">
        <v>601</v>
      </c>
      <c r="C14" s="3" t="n">
        <v>395</v>
      </c>
      <c r="D14" s="3" t="n">
        <v>245</v>
      </c>
      <c r="E14" s="3" t="n">
        <v>155</v>
      </c>
      <c r="F14" s="3" t="n">
        <v>610</v>
      </c>
      <c r="G14" s="3" t="n">
        <v>163</v>
      </c>
      <c r="H14" s="3" t="n">
        <v>625</v>
      </c>
      <c r="I14" s="4">
        <f>B14-H14</f>
        <v/>
      </c>
      <c r="J14" s="6">
        <f>IF(H14=0,0,(B14-H14)/H14)</f>
        <v/>
      </c>
    </row>
    <row r="15">
      <c r="A15" s="2" t="inlineStr">
        <is>
          <t>1 December 2025</t>
        </is>
      </c>
      <c r="B15" s="3" t="n">
        <v>605</v>
      </c>
      <c r="C15" s="3" t="n">
        <v>398</v>
      </c>
      <c r="D15" s="3" t="n">
        <v>247</v>
      </c>
      <c r="E15" s="3" t="n">
        <v>158</v>
      </c>
      <c r="F15" s="3" t="n">
        <v>609</v>
      </c>
      <c r="G15" s="3" t="n">
        <v>162</v>
      </c>
      <c r="H15" s="3" t="n">
        <v>626</v>
      </c>
      <c r="I15" s="4">
        <f>B15-H15</f>
        <v/>
      </c>
      <c r="J15" s="6">
        <f>IF(H15=0,0,(B15-H15)/H15)</f>
        <v/>
      </c>
    </row>
    <row r="16">
      <c r="A16" s="2" t="inlineStr">
        <is>
          <t>8 December 2025</t>
        </is>
      </c>
      <c r="B16" s="3" t="n">
        <v>608</v>
      </c>
      <c r="C16" s="3" t="n">
        <v>401</v>
      </c>
      <c r="D16" s="3" t="n">
        <v>249</v>
      </c>
      <c r="E16" s="3" t="n">
        <v>160</v>
      </c>
      <c r="F16" s="3" t="n">
        <v>608</v>
      </c>
      <c r="G16" s="3" t="n">
        <v>161</v>
      </c>
      <c r="H16" s="3" t="n">
        <v>627</v>
      </c>
      <c r="I16" s="4">
        <f>B16-H16</f>
        <v/>
      </c>
      <c r="J16" s="6">
        <f>IF(H16=0,0,(B16-H16)/H16)</f>
        <v/>
      </c>
    </row>
    <row r="17">
      <c r="A17" s="2" t="inlineStr">
        <is>
          <t>15 December 2025</t>
        </is>
      </c>
      <c r="B17" s="3" t="n">
        <v>609</v>
      </c>
      <c r="C17" s="3" t="n">
        <v>402</v>
      </c>
      <c r="D17" s="3" t="n">
        <v>250</v>
      </c>
      <c r="E17" s="3" t="n">
        <v>161</v>
      </c>
      <c r="F17" s="3" t="n">
        <v>609</v>
      </c>
      <c r="G17" s="3" t="n">
        <v>161</v>
      </c>
      <c r="H17" s="3" t="n">
        <v>628</v>
      </c>
      <c r="I17" s="4">
        <f>B17-H17</f>
        <v/>
      </c>
      <c r="J17" s="6">
        <f>IF(H17=0,0,(B17-H17)/H17)</f>
        <v/>
      </c>
    </row>
    <row r="18">
      <c r="A18" s="2" t="inlineStr">
        <is>
          <t>22 December 2025</t>
        </is>
      </c>
      <c r="B18" s="3" t="n">
        <v>606</v>
      </c>
      <c r="C18" s="3" t="n">
        <v>399</v>
      </c>
      <c r="D18" s="3" t="n">
        <v>248</v>
      </c>
      <c r="E18" s="3" t="n">
        <v>159</v>
      </c>
      <c r="F18" s="3" t="n">
        <v>606</v>
      </c>
      <c r="G18" s="3" t="n">
        <v>159</v>
      </c>
      <c r="H18" s="3" t="n">
        <v>629</v>
      </c>
      <c r="I18" s="4">
        <f>B18-H18</f>
        <v/>
      </c>
      <c r="J18" s="6">
        <f>IF(H18=0,0,(B18-H18)/H18)</f>
        <v/>
      </c>
    </row>
    <row r="19">
      <c r="A19" s="2" t="inlineStr">
        <is>
          <t>29 December 2025</t>
        </is>
      </c>
      <c r="B19" s="3" t="n">
        <v>610</v>
      </c>
      <c r="C19" s="3" t="n">
        <v>403</v>
      </c>
      <c r="D19" s="3" t="n">
        <v>251</v>
      </c>
      <c r="E19" s="3" t="n">
        <v>162</v>
      </c>
      <c r="F19" s="3" t="n">
        <v>610</v>
      </c>
      <c r="G19" s="3" t="n">
        <v>162</v>
      </c>
      <c r="H19" s="3" t="n">
        <v>630</v>
      </c>
      <c r="I19" s="4">
        <f>B19-H19</f>
        <v/>
      </c>
      <c r="J19" s="6">
        <f>IF(H19=0,0,(B19-H19)/H19)</f>
        <v/>
      </c>
    </row>
    <row r="20">
      <c r="A20" s="7" t="inlineStr">
        <is>
          <t>As reported = unadjusted weekly figures from the engagement warehouse (Snowcap).</t>
        </is>
      </c>
    </row>
    <row r="21">
      <c r="A21" s="7" t="inlineStr">
        <is>
          <t>As adjusted (ex-Trust Reset friction) excludes the estimated short-term engagement impact of the Trust Reset credential-hygiene programme; management view of the underlying trend. Buyers should review the basis of this adjustment.</t>
        </is>
      </c>
    </row>
    <row r="22">
      <c r="A22" s="7" t="inlineStr">
        <is>
          <t>Visible step-down begins the week commencing 20 October 2025 as forced password resets and session refresh increased login friction.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4" customWidth="1" min="2" max="2"/>
  </cols>
  <sheetData>
    <row r="1">
      <c r="A1" s="8" t="inlineStr">
        <is>
          <t>User Metrics Dashboard — Q3/Q4 2025</t>
        </is>
      </c>
    </row>
    <row r="2">
      <c r="A2" s="9" t="inlineStr">
        <is>
          <t>Methodology and management commentary</t>
        </is>
      </c>
    </row>
    <row r="4" ht="26" customHeight="1">
      <c r="A4" s="1" t="inlineStr">
        <is>
          <t>Item</t>
        </is>
      </c>
      <c r="B4" s="1" t="inlineStr">
        <is>
          <t>Detail</t>
        </is>
      </c>
    </row>
    <row r="5">
      <c r="A5" s="2" t="inlineStr">
        <is>
          <t>Period</t>
        </is>
      </c>
      <c r="B5" s="10" t="inlineStr">
        <is>
          <t>1 September 2025 to 29 December 2025</t>
        </is>
      </c>
    </row>
    <row r="6">
      <c r="A6" s="2" t="inlineStr">
        <is>
          <t>Source</t>
        </is>
      </c>
      <c r="B6" s="10" t="inlineStr">
        <is>
          <t>Snowcap engagement warehouse; weekly snapshots</t>
        </is>
      </c>
    </row>
    <row r="7">
      <c r="A7" s="10" t="inlineStr">
        <is>
          <t>Total MAU (FY25 reference)</t>
        </is>
      </c>
      <c r="B7" s="2" t="inlineStr">
        <is>
          <t>615m</t>
        </is>
      </c>
    </row>
    <row r="8">
      <c r="A8" s="10" t="inlineStr">
        <is>
          <t>Mobile MAU (FY25 reference)</t>
        </is>
      </c>
      <c r="B8" s="2" t="inlineStr">
        <is>
          <t>408m</t>
        </is>
      </c>
    </row>
    <row r="9">
      <c r="A9" s="2" t="inlineStr">
        <is>
          <t>Inflection</t>
        </is>
      </c>
      <c r="B9" s="10" t="inlineStr">
        <is>
          <t>Week commencing 20 October 2025 — onset of Trust Reset login friction</t>
        </is>
      </c>
    </row>
    <row r="10">
      <c r="A10" s="2" t="inlineStr">
        <is>
          <t>Adjustment basis</t>
        </is>
      </c>
      <c r="B10" s="10" t="inlineStr">
        <is>
          <t>Add-back of estimated Trust Reset friction to show underlying trend; presented alongside, not instead of, reported figures</t>
        </is>
      </c>
    </row>
    <row r="11">
      <c r="A11" s="2" t="inlineStr">
        <is>
          <t>Recovery</t>
        </is>
      </c>
      <c r="B11" s="10" t="inlineStr">
        <is>
          <t>Partial recovery into December; email WAU and mobile MAU remained below plan at period end</t>
        </is>
      </c>
    </row>
    <row r="12">
      <c r="A12" s="2" t="inlineStr">
        <is>
          <t>Owner</t>
        </is>
      </c>
      <c r="B12" s="10" t="inlineStr">
        <is>
          <t>Maya Hart, VP Product, Identity and 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VistaPort User Metrics Dashboard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